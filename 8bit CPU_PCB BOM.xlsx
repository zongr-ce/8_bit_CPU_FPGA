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acc2fdeb77085c/Desktop/Summer Project/"/>
    </mc:Choice>
  </mc:AlternateContent>
  <xr:revisionPtr revIDLastSave="1000" documentId="8_{903FB817-91D4-4746-A397-EA7123881C7F}" xr6:coauthVersionLast="47" xr6:coauthVersionMax="47" xr10:uidLastSave="{2F36D245-5F56-4B65-887D-826A35D1B76A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" l="1"/>
  <c r="P15" i="1"/>
  <c r="I4" i="1"/>
  <c r="I5" i="1"/>
  <c r="I6" i="1"/>
  <c r="I7" i="1"/>
  <c r="I8" i="1"/>
  <c r="I11" i="1"/>
  <c r="I12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</calcChain>
</file>

<file path=xl/sharedStrings.xml><?xml version="1.0" encoding="utf-8"?>
<sst xmlns="http://schemas.openxmlformats.org/spreadsheetml/2006/main" count="240" uniqueCount="134">
  <si>
    <t>Name</t>
  </si>
  <si>
    <t>Part Number</t>
  </si>
  <si>
    <t>Qty</t>
  </si>
  <si>
    <t>Datasheet Link</t>
  </si>
  <si>
    <t>Net Cost</t>
  </si>
  <si>
    <t>Vendor link</t>
  </si>
  <si>
    <t>Description</t>
  </si>
  <si>
    <t>Manufacturer</t>
  </si>
  <si>
    <t>CPU components</t>
  </si>
  <si>
    <t>Arithmetic Logic Unit (ALU)</t>
  </si>
  <si>
    <t>Random Access Memorie (RAM)</t>
  </si>
  <si>
    <t>Power</t>
  </si>
  <si>
    <t>Clock</t>
  </si>
  <si>
    <t>Program Counter</t>
  </si>
  <si>
    <t>Control Unit</t>
  </si>
  <si>
    <t>Micro Instruction Register</t>
  </si>
  <si>
    <t>Fundamental Elements</t>
  </si>
  <si>
    <t>8bit Register</t>
  </si>
  <si>
    <t>6 NAND (3 inputs)</t>
  </si>
  <si>
    <t>2 NOT</t>
  </si>
  <si>
    <t>16 AND</t>
  </si>
  <si>
    <t>8 OR</t>
  </si>
  <si>
    <t>8 Edge trig. Filp flop</t>
  </si>
  <si>
    <t>ALU</t>
  </si>
  <si>
    <t>8 XOR</t>
  </si>
  <si>
    <t>8 tri-state Buffer</t>
  </si>
  <si>
    <t>8 Full Adder</t>
  </si>
  <si>
    <t>2 XOR</t>
  </si>
  <si>
    <t>2 AND</t>
  </si>
  <si>
    <t>1 OR</t>
  </si>
  <si>
    <t>1 NOR ( 8 inputs)</t>
  </si>
  <si>
    <t>Note: Unless otherwise mentionned, all gates are assumed to have 2 inputs or 1 inputs for NOT gates</t>
  </si>
  <si>
    <t>RAM</t>
  </si>
  <si>
    <t>1 NOT</t>
  </si>
  <si>
    <t>4 NOT</t>
  </si>
  <si>
    <t>32 AND</t>
  </si>
  <si>
    <t>16 AND (4 inputs)</t>
  </si>
  <si>
    <t>16 8bit Register</t>
  </si>
  <si>
    <t>9 AND</t>
  </si>
  <si>
    <t>4 OR</t>
  </si>
  <si>
    <t>4 Tri-state Buffer</t>
  </si>
  <si>
    <t>4 Edge trig. Flip flop</t>
  </si>
  <si>
    <t>3 Seven Segment Display</t>
  </si>
  <si>
    <t>1 BCD Convertor(Double Dabble Algorithm)</t>
  </si>
  <si>
    <t>9 Double Dabble shifter (conditional adder)</t>
  </si>
  <si>
    <t>Double Dabble conditoinal adder rule: If input &gt;= 5, then add 3</t>
  </si>
  <si>
    <t>3 XOR</t>
  </si>
  <si>
    <t>4 NOR</t>
  </si>
  <si>
    <t>1 AND</t>
  </si>
  <si>
    <t>3 Seven Segment driver</t>
  </si>
  <si>
    <t>21 AND (4 inputs)</t>
  </si>
  <si>
    <t>10 OR</t>
  </si>
  <si>
    <t>2 OR (4 inputs)</t>
  </si>
  <si>
    <t>1 OR (5 inputs)</t>
  </si>
  <si>
    <t>5 NOT</t>
  </si>
  <si>
    <t>Micro Instruction Counter</t>
  </si>
  <si>
    <t>Programming/Run</t>
  </si>
  <si>
    <t>4bit dip switch</t>
  </si>
  <si>
    <t>8-bit dip switch</t>
  </si>
  <si>
    <t>15 OR</t>
  </si>
  <si>
    <t>30 AND</t>
  </si>
  <si>
    <t>to select address</t>
  </si>
  <si>
    <t>to put data in address</t>
  </si>
  <si>
    <t xml:space="preserve">2 LED </t>
  </si>
  <si>
    <t>for PROG/RUN status</t>
  </si>
  <si>
    <t>1 push button</t>
  </si>
  <si>
    <t xml:space="preserve"> to load data to RAM</t>
  </si>
  <si>
    <t xml:space="preserve">1 dip switch </t>
  </si>
  <si>
    <t xml:space="preserve">to select PROG/RUN Mode </t>
  </si>
  <si>
    <t>8 LED (for status)</t>
  </si>
  <si>
    <t>4 LED (for status)</t>
  </si>
  <si>
    <t>AND gate</t>
  </si>
  <si>
    <t>OR gate</t>
  </si>
  <si>
    <t>NOT gate</t>
  </si>
  <si>
    <t>NAND gate</t>
  </si>
  <si>
    <t>LED</t>
  </si>
  <si>
    <t>8 bit Register (Qty. 21)</t>
  </si>
  <si>
    <t>Total cost</t>
  </si>
  <si>
    <t>3 inputs</t>
  </si>
  <si>
    <t>XOR gate</t>
  </si>
  <si>
    <t>NOR gate</t>
  </si>
  <si>
    <t>Edge Trigerred Flip Flop</t>
  </si>
  <si>
    <t>Full Adder</t>
  </si>
  <si>
    <t>Tri-state Buffer</t>
  </si>
  <si>
    <t>Edge trig. Flip flop</t>
  </si>
  <si>
    <t>for status</t>
  </si>
  <si>
    <t>8-bit Register</t>
  </si>
  <si>
    <t>for Status</t>
  </si>
  <si>
    <t>SN74HC10DR</t>
  </si>
  <si>
    <t>https://www.digikey.com/en/products/detail/texas-instruments/SN74HC10DR/562995</t>
  </si>
  <si>
    <t>https://www.ti.com/lit/ds/symlink/sn54hc10.pdf</t>
  </si>
  <si>
    <t>Texas Instrument</t>
  </si>
  <si>
    <t>EIGHT-CHANNEL 4.5V-TO-5.5V</t>
  </si>
  <si>
    <t>https://www.ti.com/lit/ds/symlink/sn74act240.pdf?ts=1712103363294</t>
  </si>
  <si>
    <t>https://www.digikey.com/en/products/detail/texas-instruments/SN74ACT240DGSR/22539638</t>
  </si>
  <si>
    <t>https://www.ti.com/lit/gpn/cd4078b</t>
  </si>
  <si>
    <t>https://www.mouser.com/ProductDetail/Texas-Instruments/CD4078BPWRE4?qs=HTr%252BoA4jRim%2FNX8Cvm8fSA%3D%3D</t>
  </si>
  <si>
    <t>CD4078BPWRE4</t>
  </si>
  <si>
    <t>Logic Gates CMOS 8-Input NOR</t>
  </si>
  <si>
    <t>https://www.ti.com/lit/ds/symlink/sn74hc86.pdf</t>
  </si>
  <si>
    <t>https://www.digikey.com/en/products/detail/texas-instruments/SN74HC86DR/562916</t>
  </si>
  <si>
    <t>SN74HC86DR</t>
  </si>
  <si>
    <t>IC GATE XOR 4CH 2-INP 14SOIC</t>
  </si>
  <si>
    <t># of Channels</t>
  </si>
  <si>
    <t>https://www.ti.com/lit/ds/scas286u/scas286u.pdf?ts=1755354879263</t>
  </si>
  <si>
    <t>https://www.digikey.com/en/products/detail/texas-instruments/SN74LVC32APWR/276879</t>
  </si>
  <si>
    <t>SN74LVC32APWR</t>
  </si>
  <si>
    <t>IC GATE OR 4CH 2-INP 14TSSOP</t>
  </si>
  <si>
    <t>https://www.ti.com/lit/ds/symlink/sn74hc7001.pdf?HQS=dis-dk-null-digikeymode-dsf-pf-null-wwe&amp;ts=1755355344127&amp;ref_url=https%253A%252F%252Fwww.ti.com%252Fgeneral%252Fdocs%252Fsuppproductinfo.tsp%253FdistId%253D10%2526gotoUrl%253Dhttps%253A%252F%252Fwww.ti.com%252Flit%252Fgpn%252Fsn74hc7001</t>
  </si>
  <si>
    <t>https://www.digikey.com/en/products/detail/texas-instruments/SN74HC7001DR/1571323</t>
  </si>
  <si>
    <t>SN74HC7001DR</t>
  </si>
  <si>
    <t>IC GATE AND 4CH 2-INP 14SOIC</t>
  </si>
  <si>
    <t>https://www.ti.com/lit/ds/symlink/sn74act244-ep.pdf?ts=1755297549244</t>
  </si>
  <si>
    <t>SN74ACT244IDWREP</t>
  </si>
  <si>
    <t>https://www.mouser.com/ProductDetail/Texas-Instruments/SN74ACT244IDWREP?qs=UFeyouyReuH9zLpoSmu6tw%3D%3D</t>
  </si>
  <si>
    <t>Buffers &amp; Line Drivers Mil Enhance Octal Bu ffers/Drivers</t>
  </si>
  <si>
    <t>https://www.ti.com/lit/ds/symlink/sn74hc21.pdf?HQS=dis-dk-null-digikeymode-dsf-pf-null-wwe&amp;ts=1755313387308&amp;ref_url=https%253A%252F%252Fwww.ti.com%252Fgeneral%252Fdocs%252Fsuppproductinfo.tsp%253FdistId%253D10%2526gotoUrl%253Dhttps%253A%252F%252Fwww.ti.com%252Flit%252Fgpn%252Fsn74hc21</t>
  </si>
  <si>
    <t>https://www.digikey.com/en/products/detail/texas-instruments/SN74HC21PWR/603203</t>
  </si>
  <si>
    <t>SN74HC21PWR</t>
  </si>
  <si>
    <t>IC GATE AND 2CH 4-INP 14TSSOP</t>
  </si>
  <si>
    <t>Unit Cost (Cut tape or Tube )</t>
  </si>
  <si>
    <t>AND</t>
  </si>
  <si>
    <t>NOT</t>
  </si>
  <si>
    <t>NOR</t>
  </si>
  <si>
    <t>NAND</t>
  </si>
  <si>
    <t>OR</t>
  </si>
  <si>
    <t>XOR</t>
  </si>
  <si>
    <t>Tristate buff</t>
  </si>
  <si>
    <t>input count</t>
  </si>
  <si>
    <t>Part</t>
  </si>
  <si>
    <t>N/A</t>
  </si>
  <si>
    <t>8bit Register parts</t>
  </si>
  <si>
    <t>https://www.digikey.com/en/products/detail/texas-instruments/sn74act240dw/1576068</t>
  </si>
  <si>
    <t>SN74ACT240DW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</si>
</sst>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444444"/>
      <name val="Aptos Narrow"/>
      <family val="2"/>
      <scheme val="minor"/>
    </font>
    <font>
      <sz val="12"/>
      <color rgb="FF333333"/>
      <name val="Aptos Narrow"/>
      <family val="2"/>
      <scheme val="minor"/>
    </font>
    <font>
      <sz val="12"/>
      <color rgb="FF333333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3">
    <xf numFmtId="0" fontId="0" fillId="0" borderId="0"/>
    <xf numFmtId="0" fontId="1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88">
    <xf numFmtId="0" fontId="0" fillId="0" borderId="0" xfId="0"/>
    <xf numFmtId="0" fontId="0" fillId="3" borderId="12" xfId="0" applyFill="1" applyBorder="1"/>
    <xf numFmtId="0" fontId="0" fillId="3" borderId="3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1" xfId="0" applyFill="1" applyBorder="1"/>
    <xf numFmtId="0" fontId="0" fillId="3" borderId="3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0" xfId="0" applyFill="1"/>
    <xf numFmtId="0" fontId="0" fillId="3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1" xfId="0" applyFill="1" applyBorder="1"/>
    <xf numFmtId="0" fontId="0" fillId="3" borderId="20" xfId="0" applyFill="1" applyBorder="1"/>
    <xf numFmtId="0" fontId="0" fillId="3" borderId="3" xfId="0" applyFill="1" applyBorder="1" applyAlignment="1">
      <alignment horizontal="center"/>
    </xf>
    <xf numFmtId="0" fontId="0" fillId="3" borderId="14" xfId="0" applyFill="1" applyBorder="1"/>
    <xf numFmtId="0" fontId="0" fillId="3" borderId="0" xfId="0" applyFill="1" applyAlignment="1">
      <alignment horizontal="center" vertical="center"/>
    </xf>
    <xf numFmtId="0" fontId="0" fillId="3" borderId="6" xfId="0" applyFill="1" applyBorder="1"/>
    <xf numFmtId="0" fontId="0" fillId="3" borderId="6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4" borderId="31" xfId="1" applyBorder="1"/>
    <xf numFmtId="0" fontId="2" fillId="0" borderId="29" xfId="0" applyFont="1" applyBorder="1"/>
    <xf numFmtId="0" fontId="2" fillId="0" borderId="30" xfId="0" applyFont="1" applyBorder="1"/>
    <xf numFmtId="0" fontId="3" fillId="0" borderId="30" xfId="0" applyFont="1" applyBorder="1"/>
    <xf numFmtId="0" fontId="3" fillId="0" borderId="29" xfId="0" applyFont="1" applyBorder="1"/>
    <xf numFmtId="0" fontId="2" fillId="0" borderId="31" xfId="0" applyFont="1" applyBorder="1"/>
    <xf numFmtId="0" fontId="4" fillId="0" borderId="31" xfId="0" applyFont="1" applyBorder="1"/>
    <xf numFmtId="0" fontId="5" fillId="0" borderId="31" xfId="0" applyFont="1" applyBorder="1"/>
    <xf numFmtId="0" fontId="3" fillId="0" borderId="31" xfId="0" applyFont="1" applyBorder="1"/>
    <xf numFmtId="0" fontId="2" fillId="4" borderId="31" xfId="1" applyFont="1" applyBorder="1"/>
    <xf numFmtId="0" fontId="0" fillId="0" borderId="0" xfId="0" applyAlignment="1">
      <alignment vertical="center"/>
    </xf>
    <xf numFmtId="0" fontId="2" fillId="0" borderId="29" xfId="0" applyFont="1" applyBorder="1" applyAlignment="1">
      <alignment horizontal="right" vertical="center"/>
    </xf>
    <xf numFmtId="0" fontId="2" fillId="0" borderId="30" xfId="0" applyFont="1" applyBorder="1" applyAlignment="1">
      <alignment horizontal="right" vertical="center"/>
    </xf>
    <xf numFmtId="0" fontId="2" fillId="0" borderId="31" xfId="0" applyFont="1" applyBorder="1" applyAlignment="1">
      <alignment horizontal="right" vertical="center"/>
    </xf>
    <xf numFmtId="0" fontId="2" fillId="4" borderId="31" xfId="1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1" fillId="4" borderId="31" xfId="1" applyBorder="1" applyAlignment="1">
      <alignment horizontal="right" vertical="center"/>
    </xf>
    <xf numFmtId="0" fontId="1" fillId="4" borderId="30" xfId="1" applyBorder="1"/>
    <xf numFmtId="0" fontId="1" fillId="4" borderId="30" xfId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6" fillId="0" borderId="31" xfId="2" applyBorder="1"/>
    <xf numFmtId="0" fontId="6" fillId="0" borderId="30" xfId="2" applyBorder="1"/>
    <xf numFmtId="0" fontId="0" fillId="0" borderId="0" xfId="0" applyAlignment="1">
      <alignment horizont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wrapText="1"/>
    </xf>
    <xf numFmtId="0" fontId="2" fillId="2" borderId="30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" fillId="4" borderId="29" xfId="1" applyBorder="1" applyAlignment="1">
      <alignment horizontal="center" vertical="center"/>
    </xf>
    <xf numFmtId="0" fontId="1" fillId="4" borderId="31" xfId="1" applyBorder="1" applyAlignment="1">
      <alignment horizontal="center" vertical="center"/>
    </xf>
    <xf numFmtId="0" fontId="1" fillId="4" borderId="30" xfId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/>
    </xf>
    <xf numFmtId="0" fontId="0" fillId="3" borderId="22" xfId="0" applyFill="1" applyBorder="1" applyAlignment="1">
      <alignment horizontal="center" vertical="center"/>
    </xf>
  </cellXfs>
  <cellStyles count="3">
    <cellStyle name="20% - Accent1" xfId="1" builtinId="30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374650</xdr:colOff>
      <xdr:row>51</xdr:row>
      <xdr:rowOff>117584</xdr:rowOff>
    </xdr:from>
    <xdr:to>
      <xdr:col>16</xdr:col>
      <xdr:colOff>11363</xdr:colOff>
      <xdr:row>83</xdr:row>
      <xdr:rowOff>107949</xdr:rowOff>
    </xdr:to>
    <xdr:pic>
      <xdr:nvPicPr>
        <xdr:cNvPr id="2" name="Picture 1" descr="Smallest Double Dabble Module (6x7x7) ↓ World ↓ : r/redstone">
          <a:extLst>
            <a:ext uri="{FF2B5EF4-FFF2-40B4-BE49-F238E27FC236}">
              <a16:creationId xmlns:a16="http://schemas.microsoft.com/office/drawing/2014/main" id="{AD44DB8A-C6A5-A8C2-841C-0D52F7C79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9850" y="18900884"/>
          <a:ext cx="4984750" cy="5908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texas-instruments/SN74ACT240DGSR/22539638" TargetMode="External"/><Relationship Id="rId2" Type="http://schemas.openxmlformats.org/officeDocument/2006/relationships/hyperlink" Target="https://www.mouser.com/ProductDetail/Texas-Instruments/SN74ACT244IDWREP?qs=UFeyouyReuH9zLpoSmu6tw%3D%3D" TargetMode="External"/><Relationship Id="rId1" Type="http://schemas.openxmlformats.org/officeDocument/2006/relationships/hyperlink" Target="https://www.digikey.com/en/products/detail/texas-instruments/SN74LVC32APWR/276879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ti.com/lit/ds/symlink/sn74act240.pdf?ts=1712103363294" TargetMode="External"/><Relationship Id="rId4" Type="http://schemas.openxmlformats.org/officeDocument/2006/relationships/hyperlink" Target="https://www.digikey.com/en/products/detail/texas-instruments/sn74act240dw/15760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D86A-D55B-924E-9D2B-D18E1AF10195}">
  <dimension ref="A1:P106"/>
  <sheetViews>
    <sheetView tabSelected="1" zoomScale="40" zoomScaleNormal="40" zoomScaleSheetLayoutView="100" workbookViewId="0">
      <selection activeCell="Y56" sqref="Y56"/>
    </sheetView>
  </sheetViews>
  <sheetFormatPr defaultRowHeight="14.5" x14ac:dyDescent="0.35"/>
  <cols>
    <col min="1" max="1" width="24.1796875" customWidth="1"/>
    <col min="2" max="2" width="17" customWidth="1"/>
    <col min="3" max="3" width="40.26953125" customWidth="1"/>
    <col min="4" max="4" width="18.26953125" customWidth="1"/>
    <col min="5" max="5" width="18.1796875" customWidth="1"/>
    <col min="6" max="6" width="9.81640625" customWidth="1"/>
    <col min="7" max="7" width="14.26953125" customWidth="1"/>
    <col min="8" max="8" width="7.7265625" customWidth="1"/>
    <col min="9" max="9" width="9.36328125" customWidth="1"/>
    <col min="10" max="10" width="8.6328125" customWidth="1"/>
    <col min="11" max="11" width="13" customWidth="1"/>
    <col min="12" max="12" width="6.81640625" customWidth="1"/>
    <col min="13" max="13" width="14.6328125" customWidth="1"/>
    <col min="14" max="14" width="13" customWidth="1"/>
    <col min="15" max="15" width="11.81640625" customWidth="1"/>
    <col min="19" max="19" width="8.7265625" customWidth="1"/>
  </cols>
  <sheetData>
    <row r="1" spans="1:16" ht="15" thickTop="1" x14ac:dyDescent="0.35">
      <c r="A1" s="46" t="s">
        <v>8</v>
      </c>
      <c r="B1" s="46" t="s">
        <v>0</v>
      </c>
      <c r="C1" s="46" t="s">
        <v>6</v>
      </c>
      <c r="D1" s="46" t="s">
        <v>7</v>
      </c>
      <c r="E1" s="46" t="s">
        <v>1</v>
      </c>
      <c r="F1" s="48" t="s">
        <v>103</v>
      </c>
      <c r="G1" s="50" t="s">
        <v>120</v>
      </c>
      <c r="H1" s="46" t="s">
        <v>2</v>
      </c>
      <c r="I1" s="46" t="s">
        <v>4</v>
      </c>
      <c r="J1" s="48" t="s">
        <v>5</v>
      </c>
      <c r="K1" s="48" t="s">
        <v>3</v>
      </c>
      <c r="L1" s="48" t="s">
        <v>77</v>
      </c>
    </row>
    <row r="2" spans="1:16" ht="15" thickBot="1" x14ac:dyDescent="0.4">
      <c r="A2" s="47"/>
      <c r="B2" s="47"/>
      <c r="C2" s="47"/>
      <c r="D2" s="47"/>
      <c r="E2" s="47"/>
      <c r="F2" s="49"/>
      <c r="G2" s="51"/>
      <c r="H2" s="47"/>
      <c r="I2" s="47"/>
      <c r="J2" s="49"/>
      <c r="K2" s="49"/>
      <c r="L2" s="49"/>
    </row>
    <row r="3" spans="1:16" ht="16.5" thickTop="1" x14ac:dyDescent="0.4">
      <c r="A3" s="58" t="s">
        <v>81</v>
      </c>
      <c r="B3" s="23" t="s">
        <v>74</v>
      </c>
      <c r="C3" s="23" t="s">
        <v>78</v>
      </c>
      <c r="D3" s="23" t="s">
        <v>91</v>
      </c>
      <c r="E3" s="23" t="s">
        <v>88</v>
      </c>
      <c r="F3" s="33">
        <v>3</v>
      </c>
      <c r="G3" s="33">
        <v>0.26</v>
      </c>
      <c r="H3" s="33">
        <v>6</v>
      </c>
      <c r="I3" s="33">
        <f>G3*H3</f>
        <v>1.56</v>
      </c>
      <c r="J3" s="23" t="s">
        <v>89</v>
      </c>
      <c r="K3" s="23" t="s">
        <v>90</v>
      </c>
      <c r="L3" s="23">
        <v>0</v>
      </c>
    </row>
    <row r="4" spans="1:16" ht="16.5" thickBot="1" x14ac:dyDescent="0.45">
      <c r="A4" s="60"/>
      <c r="B4" s="24" t="s">
        <v>73</v>
      </c>
      <c r="C4" s="25" t="s">
        <v>92</v>
      </c>
      <c r="D4" s="24" t="s">
        <v>91</v>
      </c>
      <c r="E4" s="24" t="s">
        <v>133</v>
      </c>
      <c r="F4" s="34">
        <v>8</v>
      </c>
      <c r="G4" s="34">
        <v>0.59</v>
      </c>
      <c r="H4" s="34">
        <v>2</v>
      </c>
      <c r="I4" s="34">
        <f t="shared" ref="I4:I6" si="0" xml:space="preserve"> G4*H4</f>
        <v>1.18</v>
      </c>
      <c r="J4" s="44" t="s">
        <v>132</v>
      </c>
      <c r="K4" s="44" t="s">
        <v>93</v>
      </c>
      <c r="L4" s="24">
        <v>0</v>
      </c>
    </row>
    <row r="5" spans="1:16" ht="16.5" thickTop="1" x14ac:dyDescent="0.4">
      <c r="A5" s="58" t="s">
        <v>82</v>
      </c>
      <c r="B5" s="23" t="s">
        <v>79</v>
      </c>
      <c r="C5" s="26" t="s">
        <v>102</v>
      </c>
      <c r="D5" s="23" t="s">
        <v>91</v>
      </c>
      <c r="E5" s="23" t="s">
        <v>101</v>
      </c>
      <c r="F5" s="33">
        <v>4</v>
      </c>
      <c r="G5" s="33">
        <v>0.28000000000000003</v>
      </c>
      <c r="H5" s="33">
        <v>2</v>
      </c>
      <c r="I5" s="33">
        <f t="shared" si="0"/>
        <v>0.56000000000000005</v>
      </c>
      <c r="J5" s="23" t="s">
        <v>100</v>
      </c>
      <c r="K5" s="23" t="s">
        <v>99</v>
      </c>
      <c r="L5" s="27">
        <v>0</v>
      </c>
    </row>
    <row r="6" spans="1:16" ht="16" x14ac:dyDescent="0.4">
      <c r="A6" s="59"/>
      <c r="B6" s="27" t="s">
        <v>72</v>
      </c>
      <c r="C6" s="27" t="s">
        <v>107</v>
      </c>
      <c r="D6" s="27" t="s">
        <v>91</v>
      </c>
      <c r="E6" s="27" t="s">
        <v>106</v>
      </c>
      <c r="F6" s="35">
        <v>4</v>
      </c>
      <c r="G6" s="35">
        <v>0.25</v>
      </c>
      <c r="H6" s="35">
        <v>1</v>
      </c>
      <c r="I6" s="35">
        <f t="shared" si="0"/>
        <v>0.25</v>
      </c>
      <c r="J6" s="43" t="s">
        <v>105</v>
      </c>
      <c r="K6" s="27" t="s">
        <v>104</v>
      </c>
      <c r="L6" s="27">
        <v>0</v>
      </c>
    </row>
    <row r="7" spans="1:16" ht="16.5" thickBot="1" x14ac:dyDescent="0.45">
      <c r="A7" s="60"/>
      <c r="B7" s="24" t="s">
        <v>71</v>
      </c>
      <c r="C7" s="24" t="s">
        <v>111</v>
      </c>
      <c r="D7" s="24" t="s">
        <v>91</v>
      </c>
      <c r="E7" s="24" t="s">
        <v>110</v>
      </c>
      <c r="F7" s="34">
        <v>4</v>
      </c>
      <c r="G7" s="34">
        <v>1.91</v>
      </c>
      <c r="H7" s="34">
        <v>2</v>
      </c>
      <c r="I7" s="34">
        <f xml:space="preserve"> G7*H7</f>
        <v>3.82</v>
      </c>
      <c r="J7" s="24" t="s">
        <v>109</v>
      </c>
      <c r="K7" s="24" t="s">
        <v>108</v>
      </c>
      <c r="L7" s="24">
        <v>0</v>
      </c>
    </row>
    <row r="8" spans="1:16" ht="16.5" thickTop="1" x14ac:dyDescent="0.4">
      <c r="A8" s="58" t="s">
        <v>76</v>
      </c>
      <c r="B8" s="23" t="s">
        <v>71</v>
      </c>
      <c r="C8" s="23" t="s">
        <v>111</v>
      </c>
      <c r="D8" s="23" t="s">
        <v>91</v>
      </c>
      <c r="E8" s="23" t="s">
        <v>110</v>
      </c>
      <c r="F8" s="33">
        <v>4</v>
      </c>
      <c r="G8" s="33">
        <v>1.91</v>
      </c>
      <c r="H8" s="33">
        <v>16</v>
      </c>
      <c r="I8" s="33">
        <f t="shared" ref="I8:I12" si="1" xml:space="preserve"> G8*H8</f>
        <v>30.56</v>
      </c>
      <c r="J8" s="23" t="s">
        <v>109</v>
      </c>
      <c r="K8" s="23" t="s">
        <v>108</v>
      </c>
      <c r="L8" s="33">
        <v>0</v>
      </c>
      <c r="M8" s="32"/>
    </row>
    <row r="9" spans="1:16" ht="16" x14ac:dyDescent="0.4">
      <c r="A9" s="59"/>
      <c r="B9" s="27" t="s">
        <v>72</v>
      </c>
      <c r="C9" s="27" t="s">
        <v>107</v>
      </c>
      <c r="D9" s="27" t="s">
        <v>91</v>
      </c>
      <c r="E9" s="27" t="s">
        <v>106</v>
      </c>
      <c r="F9" s="35">
        <v>4</v>
      </c>
      <c r="G9" s="35">
        <v>0.25</v>
      </c>
      <c r="H9" s="35">
        <v>8</v>
      </c>
      <c r="I9" s="35">
        <v>0</v>
      </c>
      <c r="J9" s="27" t="s">
        <v>105</v>
      </c>
      <c r="K9" s="27" t="s">
        <v>104</v>
      </c>
      <c r="L9" s="35">
        <v>0</v>
      </c>
      <c r="M9" s="32"/>
      <c r="N9" s="45" t="s">
        <v>131</v>
      </c>
      <c r="O9" s="45"/>
      <c r="P9" s="45"/>
    </row>
    <row r="10" spans="1:16" ht="16" x14ac:dyDescent="0.4">
      <c r="A10" s="59"/>
      <c r="B10" s="27" t="s">
        <v>83</v>
      </c>
      <c r="C10" s="28" t="s">
        <v>115</v>
      </c>
      <c r="D10" s="27" t="s">
        <v>91</v>
      </c>
      <c r="E10" s="27" t="s">
        <v>113</v>
      </c>
      <c r="F10" s="35">
        <v>8</v>
      </c>
      <c r="G10" s="35">
        <v>3.69</v>
      </c>
      <c r="H10" s="35">
        <v>8</v>
      </c>
      <c r="I10" s="35">
        <v>0</v>
      </c>
      <c r="J10" s="43" t="s">
        <v>114</v>
      </c>
      <c r="K10" s="27" t="s">
        <v>112</v>
      </c>
      <c r="L10" s="35">
        <v>0</v>
      </c>
      <c r="M10" s="32"/>
      <c r="N10" t="s">
        <v>129</v>
      </c>
      <c r="O10" t="s">
        <v>128</v>
      </c>
      <c r="P10" t="s">
        <v>2</v>
      </c>
    </row>
    <row r="11" spans="1:16" ht="16" x14ac:dyDescent="0.4">
      <c r="A11" s="59"/>
      <c r="B11" s="27" t="s">
        <v>73</v>
      </c>
      <c r="C11" s="30" t="s">
        <v>92</v>
      </c>
      <c r="D11" s="27" t="s">
        <v>91</v>
      </c>
      <c r="E11" s="27" t="s">
        <v>133</v>
      </c>
      <c r="F11" s="35">
        <v>8</v>
      </c>
      <c r="G11" s="35">
        <v>0.59</v>
      </c>
      <c r="H11" s="35">
        <v>1</v>
      </c>
      <c r="I11" s="35">
        <f t="shared" si="1"/>
        <v>0.59</v>
      </c>
      <c r="J11" s="43" t="s">
        <v>94</v>
      </c>
      <c r="K11" s="27" t="s">
        <v>93</v>
      </c>
      <c r="L11" s="35">
        <v>0</v>
      </c>
      <c r="M11" s="32"/>
      <c r="N11" t="s">
        <v>121</v>
      </c>
      <c r="O11">
        <v>2</v>
      </c>
      <c r="P11">
        <v>16</v>
      </c>
    </row>
    <row r="12" spans="1:16" ht="16" x14ac:dyDescent="0.4">
      <c r="A12" s="59"/>
      <c r="B12" s="22" t="s">
        <v>84</v>
      </c>
      <c r="C12" s="22"/>
      <c r="D12" s="22"/>
      <c r="E12" s="22"/>
      <c r="F12" s="38"/>
      <c r="G12" s="38"/>
      <c r="H12" s="38">
        <v>8</v>
      </c>
      <c r="I12" s="35">
        <f t="shared" si="1"/>
        <v>0</v>
      </c>
      <c r="J12" s="27"/>
      <c r="K12" s="27"/>
      <c r="L12" s="35"/>
      <c r="M12" s="32"/>
      <c r="N12" t="s">
        <v>121</v>
      </c>
      <c r="O12">
        <v>4</v>
      </c>
      <c r="P12">
        <v>0</v>
      </c>
    </row>
    <row r="13" spans="1:16" ht="16.5" thickBot="1" x14ac:dyDescent="0.45">
      <c r="A13" s="60"/>
      <c r="B13" s="24" t="s">
        <v>75</v>
      </c>
      <c r="C13" s="24" t="s">
        <v>85</v>
      </c>
      <c r="D13" s="24"/>
      <c r="E13" s="24"/>
      <c r="F13" s="34"/>
      <c r="G13" s="34"/>
      <c r="H13" s="34">
        <v>8</v>
      </c>
      <c r="I13" s="34">
        <v>0</v>
      </c>
      <c r="J13" s="24"/>
      <c r="K13" s="24"/>
      <c r="L13" s="34"/>
      <c r="M13" s="32"/>
      <c r="N13" t="s">
        <v>122</v>
      </c>
      <c r="O13">
        <v>1</v>
      </c>
      <c r="P13">
        <f>1+2*8</f>
        <v>17</v>
      </c>
    </row>
    <row r="14" spans="1:16" ht="16.5" thickTop="1" x14ac:dyDescent="0.4">
      <c r="A14" s="53" t="s">
        <v>10</v>
      </c>
      <c r="B14" s="23" t="s">
        <v>73</v>
      </c>
      <c r="C14" s="26" t="s">
        <v>92</v>
      </c>
      <c r="D14" s="23" t="s">
        <v>91</v>
      </c>
      <c r="E14" s="23" t="s">
        <v>133</v>
      </c>
      <c r="F14" s="33">
        <v>8</v>
      </c>
      <c r="G14" s="33">
        <v>0.59</v>
      </c>
      <c r="H14" s="33">
        <v>4</v>
      </c>
      <c r="I14" s="33" t="e">
        <f>#REF! *#REF!</f>
        <v>#REF!</v>
      </c>
      <c r="J14" s="23" t="s">
        <v>132</v>
      </c>
      <c r="K14" s="23" t="s">
        <v>93</v>
      </c>
      <c r="L14" s="23">
        <v>0</v>
      </c>
      <c r="N14" t="s">
        <v>123</v>
      </c>
      <c r="O14">
        <v>8</v>
      </c>
      <c r="P14">
        <v>0</v>
      </c>
    </row>
    <row r="15" spans="1:16" ht="16" x14ac:dyDescent="0.4">
      <c r="A15" s="54"/>
      <c r="B15" s="27" t="s">
        <v>71</v>
      </c>
      <c r="C15" s="27" t="s">
        <v>111</v>
      </c>
      <c r="D15" s="27" t="s">
        <v>91</v>
      </c>
      <c r="E15" s="27" t="s">
        <v>110</v>
      </c>
      <c r="F15" s="35">
        <v>4</v>
      </c>
      <c r="G15" s="35">
        <v>1.91</v>
      </c>
      <c r="H15" s="35">
        <v>32</v>
      </c>
      <c r="I15" s="35" t="e">
        <f>#REF! *#REF!</f>
        <v>#REF!</v>
      </c>
      <c r="J15" s="27" t="s">
        <v>109</v>
      </c>
      <c r="K15" s="27" t="s">
        <v>108</v>
      </c>
      <c r="L15" s="27">
        <v>0</v>
      </c>
      <c r="N15" t="s">
        <v>124</v>
      </c>
      <c r="O15">
        <v>3</v>
      </c>
      <c r="P15">
        <f>8*6</f>
        <v>48</v>
      </c>
    </row>
    <row r="16" spans="1:16" ht="16" x14ac:dyDescent="0.4">
      <c r="A16" s="54"/>
      <c r="B16" s="27" t="s">
        <v>71</v>
      </c>
      <c r="C16" s="27" t="s">
        <v>119</v>
      </c>
      <c r="D16" s="27" t="s">
        <v>91</v>
      </c>
      <c r="E16" s="27" t="s">
        <v>118</v>
      </c>
      <c r="F16" s="35">
        <v>2</v>
      </c>
      <c r="G16" s="35">
        <v>0.32</v>
      </c>
      <c r="H16" s="35">
        <v>16</v>
      </c>
      <c r="I16" s="35">
        <f xml:space="preserve"> G16*H16</f>
        <v>5.12</v>
      </c>
      <c r="J16" s="27" t="s">
        <v>117</v>
      </c>
      <c r="K16" s="27" t="s">
        <v>116</v>
      </c>
      <c r="L16" s="27">
        <v>0</v>
      </c>
      <c r="N16" t="s">
        <v>125</v>
      </c>
      <c r="O16">
        <v>2</v>
      </c>
      <c r="P16">
        <v>8</v>
      </c>
    </row>
    <row r="17" spans="1:16" ht="16" x14ac:dyDescent="0.4">
      <c r="A17" s="54"/>
      <c r="B17" s="31" t="s">
        <v>86</v>
      </c>
      <c r="C17" s="31"/>
      <c r="D17" s="31"/>
      <c r="E17" s="31"/>
      <c r="F17" s="36"/>
      <c r="G17" s="36"/>
      <c r="H17" s="36">
        <v>16</v>
      </c>
      <c r="I17" s="35">
        <f t="shared" ref="I17:I27" si="2" xml:space="preserve"> G17*H17</f>
        <v>0</v>
      </c>
      <c r="J17" s="27"/>
      <c r="K17" s="27"/>
      <c r="L17" s="27"/>
      <c r="N17" t="s">
        <v>126</v>
      </c>
      <c r="O17">
        <v>2</v>
      </c>
      <c r="P17">
        <v>0</v>
      </c>
    </row>
    <row r="18" spans="1:16" ht="16.5" thickBot="1" x14ac:dyDescent="0.45">
      <c r="A18" s="55"/>
      <c r="B18" s="24" t="s">
        <v>75</v>
      </c>
      <c r="C18" s="24" t="s">
        <v>85</v>
      </c>
      <c r="D18" s="24"/>
      <c r="E18" s="24"/>
      <c r="F18" s="34"/>
      <c r="G18" s="34"/>
      <c r="H18" s="34">
        <v>8</v>
      </c>
      <c r="I18" s="34">
        <f t="shared" si="2"/>
        <v>0</v>
      </c>
      <c r="J18" s="24"/>
      <c r="K18" s="24"/>
      <c r="L18" s="24"/>
      <c r="N18" t="s">
        <v>127</v>
      </c>
      <c r="O18" s="41" t="s">
        <v>130</v>
      </c>
      <c r="P18">
        <v>8</v>
      </c>
    </row>
    <row r="19" spans="1:16" ht="16.5" thickTop="1" x14ac:dyDescent="0.4">
      <c r="A19" s="53" t="s">
        <v>15</v>
      </c>
      <c r="B19" s="23" t="s">
        <v>73</v>
      </c>
      <c r="C19" s="26" t="s">
        <v>92</v>
      </c>
      <c r="D19" s="23" t="s">
        <v>91</v>
      </c>
      <c r="E19" s="23" t="s">
        <v>133</v>
      </c>
      <c r="F19" s="33">
        <v>8</v>
      </c>
      <c r="G19" s="33">
        <v>0.59</v>
      </c>
      <c r="H19" s="33">
        <v>1</v>
      </c>
      <c r="I19" s="33">
        <f t="shared" si="2"/>
        <v>0.59</v>
      </c>
      <c r="J19" s="23" t="s">
        <v>132</v>
      </c>
      <c r="K19" s="23" t="s">
        <v>93</v>
      </c>
      <c r="L19" s="23">
        <v>0</v>
      </c>
      <c r="N19" t="s">
        <v>75</v>
      </c>
      <c r="O19" s="42" t="s">
        <v>130</v>
      </c>
      <c r="P19">
        <v>8</v>
      </c>
    </row>
    <row r="20" spans="1:16" ht="16" x14ac:dyDescent="0.4">
      <c r="A20" s="54"/>
      <c r="B20" s="22" t="s">
        <v>84</v>
      </c>
      <c r="C20" s="22"/>
      <c r="D20" s="22"/>
      <c r="E20" s="22"/>
      <c r="F20" s="38"/>
      <c r="G20" s="38"/>
      <c r="H20" s="38">
        <v>4</v>
      </c>
      <c r="I20" s="35">
        <f t="shared" si="2"/>
        <v>0</v>
      </c>
      <c r="J20" s="27"/>
      <c r="K20" s="27"/>
      <c r="L20" s="27"/>
    </row>
    <row r="21" spans="1:16" ht="16.5" thickBot="1" x14ac:dyDescent="0.45">
      <c r="A21" s="55"/>
      <c r="B21" s="24" t="s">
        <v>75</v>
      </c>
      <c r="C21" s="24" t="s">
        <v>85</v>
      </c>
      <c r="D21" s="24"/>
      <c r="E21" s="24"/>
      <c r="F21" s="34"/>
      <c r="G21" s="34"/>
      <c r="H21" s="34">
        <v>4</v>
      </c>
      <c r="I21" s="34">
        <f t="shared" si="2"/>
        <v>0</v>
      </c>
      <c r="J21" s="24"/>
      <c r="K21" s="24"/>
      <c r="L21" s="24"/>
    </row>
    <row r="22" spans="1:16" ht="16.5" thickTop="1" x14ac:dyDescent="0.4">
      <c r="A22" s="53" t="s">
        <v>13</v>
      </c>
      <c r="B22" s="23" t="s">
        <v>73</v>
      </c>
      <c r="C22" s="26" t="s">
        <v>92</v>
      </c>
      <c r="D22" s="23" t="s">
        <v>91</v>
      </c>
      <c r="E22" s="23" t="s">
        <v>133</v>
      </c>
      <c r="F22" s="33">
        <v>8</v>
      </c>
      <c r="G22" s="33">
        <v>0.59</v>
      </c>
      <c r="H22" s="33">
        <v>4</v>
      </c>
      <c r="I22" s="33">
        <f t="shared" si="2"/>
        <v>2.36</v>
      </c>
      <c r="J22" s="23" t="s">
        <v>132</v>
      </c>
      <c r="K22" s="23" t="s">
        <v>93</v>
      </c>
      <c r="L22" s="23">
        <v>0</v>
      </c>
      <c r="N22" s="45"/>
      <c r="O22" s="45"/>
      <c r="P22" s="45"/>
    </row>
    <row r="23" spans="1:16" ht="16" x14ac:dyDescent="0.4">
      <c r="A23" s="54"/>
      <c r="B23" s="27" t="s">
        <v>71</v>
      </c>
      <c r="C23" s="27" t="s">
        <v>111</v>
      </c>
      <c r="D23" s="27" t="s">
        <v>91</v>
      </c>
      <c r="E23" s="27" t="s">
        <v>110</v>
      </c>
      <c r="F23" s="35">
        <v>4</v>
      </c>
      <c r="G23" s="35">
        <v>1.91</v>
      </c>
      <c r="H23" s="35">
        <v>9</v>
      </c>
      <c r="I23" s="35">
        <f t="shared" si="2"/>
        <v>17.189999999999998</v>
      </c>
      <c r="J23" s="27" t="s">
        <v>109</v>
      </c>
      <c r="K23" s="27" t="s">
        <v>108</v>
      </c>
      <c r="L23" s="27">
        <v>0</v>
      </c>
    </row>
    <row r="24" spans="1:16" ht="16" x14ac:dyDescent="0.4">
      <c r="A24" s="54"/>
      <c r="B24" s="27" t="s">
        <v>72</v>
      </c>
      <c r="C24" s="27" t="s">
        <v>107</v>
      </c>
      <c r="D24" s="27" t="s">
        <v>91</v>
      </c>
      <c r="E24" s="27" t="s">
        <v>106</v>
      </c>
      <c r="F24" s="35">
        <v>4</v>
      </c>
      <c r="G24" s="35">
        <v>0.25</v>
      </c>
      <c r="H24" s="35">
        <v>4</v>
      </c>
      <c r="I24" s="35">
        <f t="shared" si="2"/>
        <v>1</v>
      </c>
      <c r="J24" s="27" t="s">
        <v>105</v>
      </c>
      <c r="K24" s="27" t="s">
        <v>104</v>
      </c>
      <c r="L24" s="27">
        <v>0</v>
      </c>
    </row>
    <row r="25" spans="1:16" ht="16" x14ac:dyDescent="0.4">
      <c r="A25" s="54"/>
      <c r="B25" s="27" t="s">
        <v>83</v>
      </c>
      <c r="C25" s="28" t="s">
        <v>115</v>
      </c>
      <c r="D25" s="27" t="s">
        <v>91</v>
      </c>
      <c r="E25" s="27" t="s">
        <v>113</v>
      </c>
      <c r="F25" s="35">
        <v>8</v>
      </c>
      <c r="G25" s="35">
        <v>3.69</v>
      </c>
      <c r="H25" s="35">
        <v>4</v>
      </c>
      <c r="I25" s="35">
        <f t="shared" si="2"/>
        <v>14.76</v>
      </c>
      <c r="J25" s="27" t="s">
        <v>114</v>
      </c>
      <c r="K25" s="27" t="s">
        <v>112</v>
      </c>
      <c r="L25" s="27">
        <v>0</v>
      </c>
    </row>
    <row r="26" spans="1:16" ht="16" x14ac:dyDescent="0.4">
      <c r="A26" s="54"/>
      <c r="B26" s="22" t="s">
        <v>84</v>
      </c>
      <c r="C26" s="22"/>
      <c r="D26" s="22"/>
      <c r="E26" s="22"/>
      <c r="F26" s="38"/>
      <c r="G26" s="38"/>
      <c r="H26" s="38">
        <v>4</v>
      </c>
      <c r="I26" s="35">
        <f t="shared" si="2"/>
        <v>0</v>
      </c>
      <c r="J26" s="27"/>
      <c r="K26" s="27"/>
      <c r="L26" s="27"/>
    </row>
    <row r="27" spans="1:16" ht="16.5" thickBot="1" x14ac:dyDescent="0.45">
      <c r="A27" s="55"/>
      <c r="B27" s="24" t="s">
        <v>75</v>
      </c>
      <c r="C27" s="24" t="s">
        <v>87</v>
      </c>
      <c r="D27" s="24"/>
      <c r="E27" s="24"/>
      <c r="F27" s="34"/>
      <c r="G27" s="34"/>
      <c r="H27" s="34">
        <v>4</v>
      </c>
      <c r="I27" s="34">
        <f t="shared" si="2"/>
        <v>0</v>
      </c>
      <c r="J27" s="24"/>
      <c r="K27" s="24"/>
      <c r="L27" s="24"/>
    </row>
    <row r="28" spans="1:16" ht="16.5" thickTop="1" x14ac:dyDescent="0.4">
      <c r="A28" s="53" t="s">
        <v>9</v>
      </c>
      <c r="B28" s="23" t="s">
        <v>79</v>
      </c>
      <c r="C28" s="26" t="s">
        <v>102</v>
      </c>
      <c r="D28" s="23" t="s">
        <v>91</v>
      </c>
      <c r="E28" s="23" t="s">
        <v>101</v>
      </c>
      <c r="F28" s="33">
        <v>4</v>
      </c>
      <c r="G28" s="33">
        <v>0.28000000000000003</v>
      </c>
      <c r="H28" s="33">
        <v>8</v>
      </c>
      <c r="I28" s="33">
        <f xml:space="preserve"> G28*H28</f>
        <v>2.2400000000000002</v>
      </c>
      <c r="J28" s="23" t="s">
        <v>100</v>
      </c>
      <c r="K28" s="23" t="s">
        <v>99</v>
      </c>
      <c r="L28" s="23">
        <v>0</v>
      </c>
    </row>
    <row r="29" spans="1:16" ht="16" x14ac:dyDescent="0.4">
      <c r="A29" s="54"/>
      <c r="B29" s="27" t="s">
        <v>83</v>
      </c>
      <c r="C29" s="28" t="s">
        <v>115</v>
      </c>
      <c r="D29" s="27" t="s">
        <v>91</v>
      </c>
      <c r="E29" s="27" t="s">
        <v>113</v>
      </c>
      <c r="F29" s="35">
        <v>8</v>
      </c>
      <c r="G29" s="35">
        <v>3.69</v>
      </c>
      <c r="H29" s="35">
        <v>8</v>
      </c>
      <c r="I29" s="35">
        <f t="shared" ref="I29:I31" si="3" xml:space="preserve"> G29*H29</f>
        <v>29.52</v>
      </c>
      <c r="J29" s="27" t="s">
        <v>114</v>
      </c>
      <c r="K29" s="27" t="s">
        <v>112</v>
      </c>
      <c r="L29" s="27">
        <v>0</v>
      </c>
    </row>
    <row r="30" spans="1:16" ht="16" x14ac:dyDescent="0.4">
      <c r="A30" s="54"/>
      <c r="B30" s="27" t="s">
        <v>80</v>
      </c>
      <c r="C30" s="29" t="s">
        <v>98</v>
      </c>
      <c r="D30" s="27" t="s">
        <v>91</v>
      </c>
      <c r="E30" s="29" t="s">
        <v>97</v>
      </c>
      <c r="F30" s="37">
        <v>1</v>
      </c>
      <c r="G30" s="35">
        <v>0.46</v>
      </c>
      <c r="H30" s="35">
        <v>1</v>
      </c>
      <c r="I30" s="35">
        <f t="shared" si="3"/>
        <v>0.46</v>
      </c>
      <c r="J30" s="27" t="s">
        <v>96</v>
      </c>
      <c r="K30" s="27" t="s">
        <v>95</v>
      </c>
      <c r="L30" s="27">
        <v>0</v>
      </c>
    </row>
    <row r="31" spans="1:16" ht="16.5" thickBot="1" x14ac:dyDescent="0.45">
      <c r="A31" s="55"/>
      <c r="B31" s="39" t="s">
        <v>82</v>
      </c>
      <c r="C31" s="39"/>
      <c r="D31" s="39"/>
      <c r="E31" s="39"/>
      <c r="F31" s="40"/>
      <c r="G31" s="40"/>
      <c r="H31" s="40">
        <v>8</v>
      </c>
      <c r="I31" s="34">
        <f t="shared" si="3"/>
        <v>0</v>
      </c>
      <c r="J31" s="24"/>
      <c r="K31" s="24"/>
      <c r="L31" s="24"/>
      <c r="O31" s="41"/>
    </row>
    <row r="32" spans="1:16" ht="16.5" thickTop="1" x14ac:dyDescent="0.4">
      <c r="A32" s="52" t="s">
        <v>12</v>
      </c>
      <c r="I32">
        <f t="shared" ref="I32:I76" si="4" xml:space="preserve"> G32*H32</f>
        <v>0</v>
      </c>
      <c r="O32" s="42"/>
    </row>
    <row r="33" spans="1:9" x14ac:dyDescent="0.35">
      <c r="A33" s="52"/>
      <c r="I33">
        <f t="shared" si="4"/>
        <v>0</v>
      </c>
    </row>
    <row r="34" spans="1:9" x14ac:dyDescent="0.35">
      <c r="A34" s="52"/>
      <c r="I34">
        <f t="shared" si="4"/>
        <v>0</v>
      </c>
    </row>
    <row r="35" spans="1:9" x14ac:dyDescent="0.35">
      <c r="A35" s="52"/>
      <c r="I35">
        <f t="shared" si="4"/>
        <v>0</v>
      </c>
    </row>
    <row r="36" spans="1:9" x14ac:dyDescent="0.35">
      <c r="A36" s="52"/>
      <c r="I36">
        <f t="shared" si="4"/>
        <v>0</v>
      </c>
    </row>
    <row r="37" spans="1:9" x14ac:dyDescent="0.35">
      <c r="A37" s="52"/>
      <c r="I37">
        <f t="shared" si="4"/>
        <v>0</v>
      </c>
    </row>
    <row r="38" spans="1:9" x14ac:dyDescent="0.35">
      <c r="A38" s="52"/>
      <c r="I38">
        <f t="shared" si="4"/>
        <v>0</v>
      </c>
    </row>
    <row r="39" spans="1:9" x14ac:dyDescent="0.35">
      <c r="A39" s="52"/>
      <c r="I39">
        <f t="shared" si="4"/>
        <v>0</v>
      </c>
    </row>
    <row r="40" spans="1:9" x14ac:dyDescent="0.35">
      <c r="A40" s="52"/>
      <c r="I40">
        <f t="shared" si="4"/>
        <v>0</v>
      </c>
    </row>
    <row r="41" spans="1:9" x14ac:dyDescent="0.35">
      <c r="A41" s="52"/>
      <c r="I41">
        <f t="shared" si="4"/>
        <v>0</v>
      </c>
    </row>
    <row r="42" spans="1:9" x14ac:dyDescent="0.35">
      <c r="A42" s="52"/>
      <c r="I42">
        <f t="shared" si="4"/>
        <v>0</v>
      </c>
    </row>
    <row r="43" spans="1:9" x14ac:dyDescent="0.35">
      <c r="A43" s="52"/>
      <c r="I43">
        <f t="shared" si="4"/>
        <v>0</v>
      </c>
    </row>
    <row r="44" spans="1:9" x14ac:dyDescent="0.35">
      <c r="A44" s="52"/>
      <c r="I44">
        <f t="shared" si="4"/>
        <v>0</v>
      </c>
    </row>
    <row r="45" spans="1:9" x14ac:dyDescent="0.35">
      <c r="I45">
        <f t="shared" si="4"/>
        <v>0</v>
      </c>
    </row>
    <row r="46" spans="1:9" x14ac:dyDescent="0.35">
      <c r="I46">
        <f t="shared" si="4"/>
        <v>0</v>
      </c>
    </row>
    <row r="47" spans="1:9" x14ac:dyDescent="0.35">
      <c r="I47">
        <f t="shared" si="4"/>
        <v>0</v>
      </c>
    </row>
    <row r="48" spans="1:9" x14ac:dyDescent="0.35">
      <c r="A48" s="52" t="s">
        <v>11</v>
      </c>
      <c r="I48">
        <f t="shared" si="4"/>
        <v>0</v>
      </c>
    </row>
    <row r="49" spans="1:9" x14ac:dyDescent="0.35">
      <c r="A49" s="52"/>
      <c r="I49">
        <f t="shared" si="4"/>
        <v>0</v>
      </c>
    </row>
    <row r="50" spans="1:9" x14ac:dyDescent="0.35">
      <c r="A50" s="52"/>
      <c r="I50">
        <f t="shared" si="4"/>
        <v>0</v>
      </c>
    </row>
    <row r="51" spans="1:9" x14ac:dyDescent="0.35">
      <c r="A51" s="52"/>
      <c r="I51">
        <f t="shared" si="4"/>
        <v>0</v>
      </c>
    </row>
    <row r="52" spans="1:9" x14ac:dyDescent="0.35">
      <c r="A52" s="52"/>
      <c r="I52">
        <f t="shared" si="4"/>
        <v>0</v>
      </c>
    </row>
    <row r="53" spans="1:9" x14ac:dyDescent="0.35">
      <c r="A53" s="52"/>
      <c r="I53">
        <f t="shared" si="4"/>
        <v>0</v>
      </c>
    </row>
    <row r="54" spans="1:9" x14ac:dyDescent="0.35">
      <c r="A54" s="52"/>
      <c r="I54">
        <f t="shared" si="4"/>
        <v>0</v>
      </c>
    </row>
    <row r="55" spans="1:9" x14ac:dyDescent="0.35">
      <c r="A55" s="52"/>
      <c r="I55">
        <f t="shared" si="4"/>
        <v>0</v>
      </c>
    </row>
    <row r="56" spans="1:9" x14ac:dyDescent="0.35">
      <c r="A56" s="52"/>
      <c r="I56">
        <f t="shared" si="4"/>
        <v>0</v>
      </c>
    </row>
    <row r="57" spans="1:9" x14ac:dyDescent="0.35">
      <c r="A57" s="52"/>
      <c r="I57">
        <f t="shared" si="4"/>
        <v>0</v>
      </c>
    </row>
    <row r="58" spans="1:9" x14ac:dyDescent="0.35">
      <c r="A58" s="52"/>
      <c r="I58">
        <f t="shared" si="4"/>
        <v>0</v>
      </c>
    </row>
    <row r="59" spans="1:9" x14ac:dyDescent="0.35">
      <c r="A59" s="52"/>
      <c r="I59">
        <f t="shared" si="4"/>
        <v>0</v>
      </c>
    </row>
    <row r="60" spans="1:9" x14ac:dyDescent="0.35">
      <c r="A60" s="52"/>
      <c r="I60">
        <f t="shared" si="4"/>
        <v>0</v>
      </c>
    </row>
    <row r="61" spans="1:9" x14ac:dyDescent="0.35">
      <c r="I61">
        <f t="shared" si="4"/>
        <v>0</v>
      </c>
    </row>
    <row r="62" spans="1:9" x14ac:dyDescent="0.35">
      <c r="I62">
        <f t="shared" si="4"/>
        <v>0</v>
      </c>
    </row>
    <row r="63" spans="1:9" x14ac:dyDescent="0.35">
      <c r="A63" s="52" t="s">
        <v>14</v>
      </c>
      <c r="I63">
        <f t="shared" si="4"/>
        <v>0</v>
      </c>
    </row>
    <row r="64" spans="1:9" x14ac:dyDescent="0.35">
      <c r="A64" s="52"/>
      <c r="I64">
        <f t="shared" si="4"/>
        <v>0</v>
      </c>
    </row>
    <row r="65" spans="1:13" x14ac:dyDescent="0.35">
      <c r="A65" s="52"/>
      <c r="I65">
        <f t="shared" si="4"/>
        <v>0</v>
      </c>
    </row>
    <row r="66" spans="1:13" x14ac:dyDescent="0.35">
      <c r="A66" s="52"/>
      <c r="I66">
        <f t="shared" si="4"/>
        <v>0</v>
      </c>
    </row>
    <row r="67" spans="1:13" x14ac:dyDescent="0.35">
      <c r="A67" s="52"/>
      <c r="I67">
        <f t="shared" si="4"/>
        <v>0</v>
      </c>
    </row>
    <row r="68" spans="1:13" x14ac:dyDescent="0.35">
      <c r="A68" s="52"/>
      <c r="I68">
        <f t="shared" si="4"/>
        <v>0</v>
      </c>
    </row>
    <row r="69" spans="1:13" x14ac:dyDescent="0.35">
      <c r="A69" s="52"/>
      <c r="I69">
        <f t="shared" si="4"/>
        <v>0</v>
      </c>
    </row>
    <row r="70" spans="1:13" x14ac:dyDescent="0.35">
      <c r="A70" s="52"/>
      <c r="I70">
        <f t="shared" si="4"/>
        <v>0</v>
      </c>
    </row>
    <row r="71" spans="1:13" x14ac:dyDescent="0.35">
      <c r="A71" s="52"/>
      <c r="I71">
        <f t="shared" si="4"/>
        <v>0</v>
      </c>
    </row>
    <row r="72" spans="1:13" x14ac:dyDescent="0.35">
      <c r="A72" s="52"/>
      <c r="I72">
        <f t="shared" si="4"/>
        <v>0</v>
      </c>
    </row>
    <row r="73" spans="1:13" x14ac:dyDescent="0.35">
      <c r="A73" s="52"/>
      <c r="I73">
        <f t="shared" si="4"/>
        <v>0</v>
      </c>
    </row>
    <row r="74" spans="1:13" x14ac:dyDescent="0.35">
      <c r="A74" s="52"/>
      <c r="I74">
        <f t="shared" si="4"/>
        <v>0</v>
      </c>
    </row>
    <row r="75" spans="1:13" x14ac:dyDescent="0.35">
      <c r="A75" s="52"/>
      <c r="I75">
        <f t="shared" si="4"/>
        <v>0</v>
      </c>
    </row>
    <row r="76" spans="1:13" x14ac:dyDescent="0.35">
      <c r="I76">
        <f t="shared" si="4"/>
        <v>0</v>
      </c>
    </row>
    <row r="77" spans="1:13" x14ac:dyDescent="0.35">
      <c r="A77" s="45" t="s">
        <v>16</v>
      </c>
      <c r="B77" s="45"/>
      <c r="C77" s="45"/>
      <c r="D77" s="45"/>
      <c r="E77" s="45"/>
      <c r="F77" s="45"/>
      <c r="G77" s="45"/>
      <c r="H77" s="45"/>
      <c r="I77" s="45"/>
      <c r="J77" s="45"/>
    </row>
    <row r="78" spans="1:13" x14ac:dyDescent="0.35">
      <c r="M78" s="9"/>
    </row>
    <row r="79" spans="1:13" x14ac:dyDescent="0.35">
      <c r="B79" t="s">
        <v>31</v>
      </c>
      <c r="M79" s="9"/>
    </row>
    <row r="80" spans="1:13" x14ac:dyDescent="0.35">
      <c r="B80" t="s">
        <v>45</v>
      </c>
      <c r="M80" s="9"/>
    </row>
    <row r="81" spans="1:13" ht="15" thickBot="1" x14ac:dyDescent="0.4">
      <c r="M81" s="9"/>
    </row>
    <row r="82" spans="1:13" ht="15.5" thickTop="1" thickBot="1" x14ac:dyDescent="0.4">
      <c r="A82" s="81" t="s">
        <v>17</v>
      </c>
      <c r="B82" s="64" t="s">
        <v>20</v>
      </c>
      <c r="C82" s="66" t="s">
        <v>21</v>
      </c>
      <c r="D82" s="67" t="s">
        <v>25</v>
      </c>
      <c r="E82" s="64" t="s">
        <v>33</v>
      </c>
      <c r="F82" s="6"/>
      <c r="G82" s="61" t="s">
        <v>22</v>
      </c>
      <c r="H82" s="62"/>
      <c r="I82" s="69" t="s">
        <v>69</v>
      </c>
      <c r="J82" s="9"/>
      <c r="K82" s="9"/>
      <c r="L82" s="9"/>
      <c r="M82" s="9"/>
    </row>
    <row r="83" spans="1:13" ht="15" thickBot="1" x14ac:dyDescent="0.4">
      <c r="A83" s="82"/>
      <c r="B83" s="65"/>
      <c r="C83" s="57"/>
      <c r="D83" s="68"/>
      <c r="E83" s="65"/>
      <c r="F83" s="10"/>
      <c r="G83" s="5" t="s">
        <v>18</v>
      </c>
      <c r="H83" s="12" t="s">
        <v>19</v>
      </c>
      <c r="I83" s="70"/>
      <c r="J83" s="9"/>
      <c r="K83" s="9"/>
      <c r="L83" s="9"/>
      <c r="M83" s="9"/>
    </row>
    <row r="84" spans="1:13" ht="15.5" thickTop="1" thickBot="1" x14ac:dyDescent="0.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</row>
    <row r="85" spans="1:13" ht="15.5" thickTop="1" thickBot="1" x14ac:dyDescent="0.4">
      <c r="A85" s="83" t="s">
        <v>23</v>
      </c>
      <c r="B85" s="67" t="s">
        <v>24</v>
      </c>
      <c r="C85" s="64" t="s">
        <v>25</v>
      </c>
      <c r="D85" s="67" t="s">
        <v>30</v>
      </c>
      <c r="E85" s="61" t="s">
        <v>26</v>
      </c>
      <c r="F85" s="62"/>
      <c r="G85" s="62"/>
      <c r="H85" s="63"/>
      <c r="I85" s="9"/>
      <c r="J85" s="9"/>
      <c r="K85" s="9"/>
      <c r="L85" s="9"/>
      <c r="M85" s="9"/>
    </row>
    <row r="86" spans="1:13" ht="15" thickBot="1" x14ac:dyDescent="0.4">
      <c r="A86" s="84"/>
      <c r="B86" s="68"/>
      <c r="C86" s="65"/>
      <c r="D86" s="68"/>
      <c r="E86" s="14" t="s">
        <v>27</v>
      </c>
      <c r="F86" s="14"/>
      <c r="G86" s="14" t="s">
        <v>28</v>
      </c>
      <c r="H86" s="15" t="s">
        <v>29</v>
      </c>
      <c r="I86" s="9"/>
      <c r="J86" s="9"/>
      <c r="K86" s="9"/>
      <c r="L86" s="9"/>
      <c r="M86" s="9"/>
    </row>
    <row r="87" spans="1:13" ht="15" thickTop="1" x14ac:dyDescent="0.3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</row>
    <row r="88" spans="1:13" ht="15" thickBot="1" x14ac:dyDescent="0.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</row>
    <row r="89" spans="1:13" ht="15" thickTop="1" x14ac:dyDescent="0.35">
      <c r="A89" s="71" t="s">
        <v>32</v>
      </c>
      <c r="B89" s="64" t="s">
        <v>34</v>
      </c>
      <c r="C89" s="66" t="s">
        <v>35</v>
      </c>
      <c r="D89" s="66" t="s">
        <v>36</v>
      </c>
      <c r="E89" s="67" t="s">
        <v>37</v>
      </c>
      <c r="F89" s="6"/>
      <c r="G89" s="79" t="s">
        <v>69</v>
      </c>
      <c r="H89" s="9"/>
      <c r="I89" s="9"/>
      <c r="J89" s="9"/>
      <c r="K89" s="9"/>
      <c r="L89" s="9"/>
      <c r="M89" s="9"/>
    </row>
    <row r="90" spans="1:13" ht="15" thickBot="1" x14ac:dyDescent="0.4">
      <c r="A90" s="72"/>
      <c r="B90" s="65"/>
      <c r="C90" s="57"/>
      <c r="D90" s="57"/>
      <c r="E90" s="68"/>
      <c r="F90" s="10"/>
      <c r="G90" s="80"/>
      <c r="H90" s="9"/>
      <c r="I90" s="9"/>
      <c r="J90" s="9"/>
      <c r="K90" s="9"/>
      <c r="L90" s="9"/>
      <c r="M90" s="9"/>
    </row>
    <row r="91" spans="1:13" ht="15" thickBot="1" x14ac:dyDescent="0.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</row>
    <row r="92" spans="1:13" ht="15.5" thickTop="1" thickBot="1" x14ac:dyDescent="0.4">
      <c r="A92" s="85" t="s">
        <v>13</v>
      </c>
      <c r="B92" s="66" t="s">
        <v>34</v>
      </c>
      <c r="C92" s="66" t="s">
        <v>38</v>
      </c>
      <c r="D92" s="66" t="s">
        <v>39</v>
      </c>
      <c r="E92" s="67" t="s">
        <v>40</v>
      </c>
      <c r="F92" s="6"/>
      <c r="G92" s="74" t="s">
        <v>41</v>
      </c>
      <c r="H92" s="74"/>
      <c r="I92" s="69" t="s">
        <v>70</v>
      </c>
      <c r="J92" s="9"/>
      <c r="K92" s="9"/>
      <c r="L92" s="9"/>
    </row>
    <row r="93" spans="1:13" ht="15" thickBot="1" x14ac:dyDescent="0.4">
      <c r="A93" s="86"/>
      <c r="B93" s="57"/>
      <c r="C93" s="57"/>
      <c r="D93" s="57"/>
      <c r="E93" s="68"/>
      <c r="F93" s="11"/>
      <c r="G93" s="17" t="s">
        <v>18</v>
      </c>
      <c r="H93" s="12" t="s">
        <v>19</v>
      </c>
      <c r="I93" s="70"/>
      <c r="J93" s="9"/>
      <c r="K93" s="9"/>
      <c r="L93" s="9"/>
    </row>
    <row r="94" spans="1:13" ht="15" thickTop="1" x14ac:dyDescent="0.3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3" ht="15" thickBot="1" x14ac:dyDescent="0.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18"/>
    </row>
    <row r="96" spans="1:13" ht="15.5" thickTop="1" thickBot="1" x14ac:dyDescent="0.4">
      <c r="A96" s="81" t="s">
        <v>42</v>
      </c>
      <c r="B96" s="74" t="s">
        <v>43</v>
      </c>
      <c r="C96" s="74"/>
      <c r="D96" s="74"/>
      <c r="E96" s="74"/>
      <c r="F96" s="16"/>
      <c r="G96" s="67" t="s">
        <v>42</v>
      </c>
      <c r="H96" s="7" t="s">
        <v>49</v>
      </c>
      <c r="I96" s="8"/>
      <c r="J96" s="8"/>
      <c r="K96" s="8"/>
      <c r="L96" s="8"/>
      <c r="M96" s="13"/>
    </row>
    <row r="97" spans="1:13" ht="15" thickBot="1" x14ac:dyDescent="0.4">
      <c r="A97" s="87"/>
      <c r="B97" s="75" t="s">
        <v>44</v>
      </c>
      <c r="C97" s="76"/>
      <c r="D97" s="76"/>
      <c r="E97" s="76"/>
      <c r="F97" s="21"/>
      <c r="G97" s="77"/>
      <c r="H97" s="78" t="s">
        <v>54</v>
      </c>
      <c r="I97" s="56" t="s">
        <v>48</v>
      </c>
      <c r="J97" s="56" t="s">
        <v>51</v>
      </c>
      <c r="K97" s="56" t="s">
        <v>52</v>
      </c>
      <c r="L97" s="56" t="s">
        <v>53</v>
      </c>
      <c r="M97" s="73" t="s">
        <v>50</v>
      </c>
    </row>
    <row r="98" spans="1:13" ht="15" thickBot="1" x14ac:dyDescent="0.4">
      <c r="A98" s="82"/>
      <c r="B98" s="19" t="s">
        <v>46</v>
      </c>
      <c r="C98" s="14" t="s">
        <v>47</v>
      </c>
      <c r="D98" s="19" t="s">
        <v>29</v>
      </c>
      <c r="E98" s="17" t="s">
        <v>48</v>
      </c>
      <c r="F98" s="5"/>
      <c r="G98" s="68"/>
      <c r="H98" s="65"/>
      <c r="I98" s="57"/>
      <c r="J98" s="57"/>
      <c r="K98" s="57"/>
      <c r="L98" s="57"/>
      <c r="M98" s="70"/>
    </row>
    <row r="99" spans="1:13" ht="15" thickTop="1" x14ac:dyDescent="0.35">
      <c r="A99" s="18"/>
      <c r="B99" s="9"/>
      <c r="C99" s="9"/>
      <c r="D99" s="9"/>
      <c r="E99" s="9"/>
      <c r="F99" s="9"/>
      <c r="G99" s="18"/>
      <c r="H99" s="18"/>
      <c r="I99" s="18"/>
      <c r="J99" s="18"/>
      <c r="K99" s="18"/>
      <c r="L99" s="18"/>
      <c r="M99" s="9"/>
    </row>
    <row r="100" spans="1:13" ht="15" thickBot="1" x14ac:dyDescent="0.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spans="1:13" ht="15.5" thickTop="1" thickBot="1" x14ac:dyDescent="0.4">
      <c r="A101" s="83" t="s">
        <v>55</v>
      </c>
      <c r="B101" s="67" t="s">
        <v>33</v>
      </c>
      <c r="C101" s="62" t="s">
        <v>41</v>
      </c>
      <c r="D101" s="62"/>
      <c r="E101" s="69" t="s">
        <v>70</v>
      </c>
      <c r="F101" s="18"/>
      <c r="G101" s="9"/>
      <c r="H101" s="9"/>
      <c r="I101" s="9"/>
      <c r="J101" s="9"/>
      <c r="K101" s="9"/>
      <c r="L101" s="9"/>
      <c r="M101" s="9"/>
    </row>
    <row r="102" spans="1:13" ht="15" thickBot="1" x14ac:dyDescent="0.4">
      <c r="A102" s="84"/>
      <c r="B102" s="68"/>
      <c r="C102" s="19" t="s">
        <v>18</v>
      </c>
      <c r="D102" s="20" t="s">
        <v>19</v>
      </c>
      <c r="E102" s="70"/>
      <c r="F102" s="18"/>
      <c r="G102" s="9"/>
      <c r="H102" s="9"/>
      <c r="I102" s="9"/>
      <c r="J102" s="9"/>
      <c r="K102" s="9"/>
      <c r="L102" s="9"/>
    </row>
    <row r="103" spans="1:13" ht="15.5" thickTop="1" thickBot="1" x14ac:dyDescent="0.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3" ht="15" thickTop="1" x14ac:dyDescent="0.35">
      <c r="A104" s="81" t="s">
        <v>56</v>
      </c>
      <c r="B104" s="1" t="s">
        <v>57</v>
      </c>
      <c r="C104" s="1" t="s">
        <v>58</v>
      </c>
      <c r="D104" s="1" t="s">
        <v>65</v>
      </c>
      <c r="E104" s="2" t="s">
        <v>63</v>
      </c>
      <c r="F104" s="2"/>
      <c r="G104" s="3" t="s">
        <v>67</v>
      </c>
      <c r="H104" s="67" t="s">
        <v>33</v>
      </c>
      <c r="I104" s="67" t="s">
        <v>59</v>
      </c>
      <c r="J104" s="79" t="s">
        <v>60</v>
      </c>
      <c r="K104" s="9"/>
      <c r="L104" s="9"/>
    </row>
    <row r="105" spans="1:13" ht="15" thickBot="1" x14ac:dyDescent="0.4">
      <c r="A105" s="82"/>
      <c r="B105" s="4" t="s">
        <v>61</v>
      </c>
      <c r="C105" s="5" t="s">
        <v>62</v>
      </c>
      <c r="D105" s="5" t="s">
        <v>66</v>
      </c>
      <c r="E105" s="5" t="s">
        <v>64</v>
      </c>
      <c r="F105" s="5"/>
      <c r="G105" s="5" t="s">
        <v>68</v>
      </c>
      <c r="H105" s="68"/>
      <c r="I105" s="68"/>
      <c r="J105" s="80"/>
      <c r="K105" s="9"/>
      <c r="L105" s="9"/>
    </row>
    <row r="106" spans="1:13" ht="15" thickTop="1" x14ac:dyDescent="0.35"/>
  </sheetData>
  <mergeCells count="68">
    <mergeCell ref="A3:A4"/>
    <mergeCell ref="A5:A7"/>
    <mergeCell ref="H104:H105"/>
    <mergeCell ref="I104:I105"/>
    <mergeCell ref="J104:J105"/>
    <mergeCell ref="A82:A83"/>
    <mergeCell ref="A85:A86"/>
    <mergeCell ref="A92:A93"/>
    <mergeCell ref="A96:A98"/>
    <mergeCell ref="A101:A102"/>
    <mergeCell ref="A104:A105"/>
    <mergeCell ref="B89:B90"/>
    <mergeCell ref="C89:C90"/>
    <mergeCell ref="D89:D90"/>
    <mergeCell ref="E89:E90"/>
    <mergeCell ref="G89:G90"/>
    <mergeCell ref="A89:A90"/>
    <mergeCell ref="L97:L98"/>
    <mergeCell ref="M97:M98"/>
    <mergeCell ref="B101:B102"/>
    <mergeCell ref="E101:E102"/>
    <mergeCell ref="G92:H92"/>
    <mergeCell ref="B97:E97"/>
    <mergeCell ref="B96:E96"/>
    <mergeCell ref="C101:D101"/>
    <mergeCell ref="B92:B93"/>
    <mergeCell ref="C92:C93"/>
    <mergeCell ref="D92:D93"/>
    <mergeCell ref="E92:E93"/>
    <mergeCell ref="I92:I93"/>
    <mergeCell ref="G96:G98"/>
    <mergeCell ref="H97:H98"/>
    <mergeCell ref="I97:I98"/>
    <mergeCell ref="J97:J98"/>
    <mergeCell ref="K97:K98"/>
    <mergeCell ref="A8:A13"/>
    <mergeCell ref="A28:A31"/>
    <mergeCell ref="A77:J77"/>
    <mergeCell ref="E85:H85"/>
    <mergeCell ref="G82:H82"/>
    <mergeCell ref="B82:B83"/>
    <mergeCell ref="C82:C83"/>
    <mergeCell ref="D82:D83"/>
    <mergeCell ref="E82:E83"/>
    <mergeCell ref="I82:I83"/>
    <mergeCell ref="B85:B86"/>
    <mergeCell ref="C85:C86"/>
    <mergeCell ref="D85:D86"/>
    <mergeCell ref="A48:A60"/>
    <mergeCell ref="A63:A75"/>
    <mergeCell ref="A14:A18"/>
    <mergeCell ref="A19:A21"/>
    <mergeCell ref="A22:A27"/>
    <mergeCell ref="A32:A44"/>
    <mergeCell ref="G1:G2"/>
    <mergeCell ref="A1:A2"/>
    <mergeCell ref="B1:B2"/>
    <mergeCell ref="C1:C2"/>
    <mergeCell ref="D1:D2"/>
    <mergeCell ref="E1:E2"/>
    <mergeCell ref="F1:F2"/>
    <mergeCell ref="N9:P9"/>
    <mergeCell ref="N22:P22"/>
    <mergeCell ref="H1:H2"/>
    <mergeCell ref="I1:I2"/>
    <mergeCell ref="J1:J2"/>
    <mergeCell ref="K1:K2"/>
    <mergeCell ref="L1:L2"/>
  </mergeCells>
  <hyperlinks>
    <hyperlink ref="J6" r:id="rId1" xr:uid="{5A77FFF1-49CB-4CAB-85CE-B2881879094C}"/>
    <hyperlink ref="J10" r:id="rId2" xr:uid="{84563C83-CE95-4F10-9ADD-8A223515C595}"/>
    <hyperlink ref="J11" r:id="rId3" xr:uid="{9027E64F-5C98-40A2-96F4-2B3822EB70AE}"/>
    <hyperlink ref="J4" r:id="rId4" xr:uid="{24E6F319-A3E5-45FA-AC71-C60924CEE12D}"/>
    <hyperlink ref="K4" r:id="rId5" xr:uid="{35E632B7-6259-4B64-9DC2-FD4E86B40B2D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Zongo</dc:creator>
  <cp:lastModifiedBy>Grace Zongo</cp:lastModifiedBy>
  <dcterms:created xsi:type="dcterms:W3CDTF">2025-07-08T08:53:23Z</dcterms:created>
  <dcterms:modified xsi:type="dcterms:W3CDTF">2025-10-02T03:27:41Z</dcterms:modified>
</cp:coreProperties>
</file>